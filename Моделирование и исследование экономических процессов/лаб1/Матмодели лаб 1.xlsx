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09"/>
  <workbookPr/>
  <mc:AlternateContent xmlns:mc="http://schemas.openxmlformats.org/markup-compatibility/2006">
    <mc:Choice Requires="x15">
      <x15ac:absPath xmlns:x15ac="http://schemas.microsoft.com/office/spreadsheetml/2010/11/ac" url="C:\Users\ivan\Desktop\"/>
    </mc:Choice>
  </mc:AlternateContent>
  <xr:revisionPtr revIDLastSave="0" documentId="13_ncr:1_{1CF3B5CA-0838-4170-A1C6-61680795F0AA}" xr6:coauthVersionLast="47" xr6:coauthVersionMax="47" xr10:uidLastSave="{00000000-0000-0000-0000-000000000000}"/>
  <bookViews>
    <workbookView xWindow="0" yWindow="0" windowWidth="9600" windowHeight="102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C26" i="1"/>
  <c r="C27" i="1"/>
  <c r="D27" i="1"/>
  <c r="C28" i="1"/>
  <c r="D28" i="1"/>
  <c r="B27" i="1"/>
  <c r="B28" i="1"/>
  <c r="B26" i="1"/>
  <c r="B12" i="1"/>
  <c r="C12" i="1"/>
  <c r="B16" i="1" s="1" a="1"/>
  <c r="B16" i="1" s="1"/>
  <c r="D12" i="1"/>
  <c r="B13" i="1"/>
  <c r="C13" i="1"/>
  <c r="D13" i="1"/>
  <c r="C11" i="1"/>
  <c r="D11" i="1"/>
  <c r="B11" i="1"/>
  <c r="D22" i="1"/>
  <c r="D23" i="1"/>
  <c r="D21" i="1"/>
  <c r="C22" i="1"/>
  <c r="C23" i="1"/>
  <c r="C21" i="1"/>
  <c r="B22" i="1"/>
  <c r="B23" i="1"/>
  <c r="B21" i="1"/>
  <c r="D9" i="1"/>
  <c r="C9" i="1"/>
  <c r="B9" i="1"/>
  <c r="D8" i="1"/>
  <c r="C8" i="1"/>
  <c r="B8" i="1"/>
  <c r="D7" i="1"/>
  <c r="C7" i="1"/>
  <c r="B7" i="1"/>
  <c r="H3" i="1" l="1" a="1"/>
  <c r="H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<sst xmlns="http://schemas.openxmlformats.org/spreadsheetml/2006/main" count="15" uniqueCount="15">
  <si>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№</t>
  </si>
  <si>
    <t>Отрасли</t>
  </si>
  <si>
    <t>Потребление</t>
  </si>
  <si>
    <t>Конечная продукция</t>
  </si>
  <si>
    <t>Валовая продукция</t>
  </si>
  <si>
    <t>Промышленность</t>
  </si>
  <si>
    <t>Строительство</t>
  </si>
  <si>
    <t>Сельское х-во</t>
  </si>
  <si>
    <t>Коеффициенты прямых затрат</t>
  </si>
  <si>
    <t>E</t>
  </si>
  <si>
    <t>E - А</t>
  </si>
  <si>
    <t>Матрица полных затрат</t>
  </si>
  <si>
    <t>Матрица межотраслевых поставок</t>
  </si>
  <si>
    <t>Xj</t>
  </si>
  <si>
    <t>Матрица косвенных затрат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</si>
</sst>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E13" sqref="E13"/>
    </sheetView>
  </sheetViews>
  <sheetFormatPr defaultRowHeight="14.5" x14ac:dyDescent="0.35"/>
  <cols>
    <col min="6" max="6" width="18.81640625" bestFit="1" customWidth="1"/>
    <col min="7" max="7" width="17.7265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 t="s">
        <v>4</v>
      </c>
    </row>
    <row r="2" spans="1:9" x14ac:dyDescent="0.35">
      <c r="A2" s="1"/>
      <c r="B2" s="1"/>
      <c r="C2">
        <v>1</v>
      </c>
      <c r="D2">
        <v>2</v>
      </c>
      <c r="E2">
        <v>3</v>
      </c>
      <c r="F2" s="1"/>
      <c r="G2" s="1"/>
      <c r="H2" t="s">
        <v>13</v>
      </c>
    </row>
    <row r="3" spans="1:9" x14ac:dyDescent="0.35">
      <c r="A3">
        <v>1</v>
      </c>
      <c r="B3" t="s">
        <v>5</v>
      </c>
      <c r="C3">
        <v>60</v>
      </c>
      <c r="D3">
        <v>12</v>
      </c>
      <c r="E3">
        <v>5</v>
      </c>
      <c r="F3">
        <v>93</v>
      </c>
      <c r="G3">
        <v>170</v>
      </c>
      <c r="H3" cm="1">
        <f t="array" ref="H3:H5">MMULT(_xlfn.ANCHORARRAY(B16),F3:F5)</f>
        <v>170.38672961744723</v>
      </c>
    </row>
    <row r="4" spans="1:9" x14ac:dyDescent="0.35">
      <c r="A4">
        <v>2</v>
      </c>
      <c r="B4" t="s">
        <v>6</v>
      </c>
      <c r="C4">
        <v>1</v>
      </c>
      <c r="D4">
        <v>0</v>
      </c>
      <c r="E4">
        <v>4</v>
      </c>
      <c r="F4">
        <v>46</v>
      </c>
      <c r="G4">
        <v>50</v>
      </c>
      <c r="H4">
        <v>51.008778799609175</v>
      </c>
    </row>
    <row r="5" spans="1:9" x14ac:dyDescent="0.35">
      <c r="A5">
        <v>3</v>
      </c>
      <c r="B5" t="s">
        <v>7</v>
      </c>
      <c r="C5">
        <v>18</v>
      </c>
      <c r="D5">
        <v>2</v>
      </c>
      <c r="E5">
        <v>10</v>
      </c>
      <c r="F5">
        <v>30</v>
      </c>
      <c r="G5">
        <v>60</v>
      </c>
      <c r="H5">
        <v>60.097558792598065</v>
      </c>
    </row>
    <row r="7" spans="1:9" x14ac:dyDescent="0.35">
      <c r="A7" t="s">
        <v>8</v>
      </c>
      <c r="B7">
        <f>C3/G3</f>
        <v>0.35294117647058826</v>
      </c>
      <c r="C7">
        <f>D3/G4</f>
        <v>0.24</v>
      </c>
      <c r="D7">
        <f>E3/G5</f>
        <v>8.3333333333333329E-2</v>
      </c>
    </row>
    <row r="8" spans="1:9" x14ac:dyDescent="0.35">
      <c r="B8">
        <f>C4/G3</f>
        <v>5.8823529411764705E-3</v>
      </c>
      <c r="C8">
        <f>D4/G4</f>
        <v>0</v>
      </c>
      <c r="D8">
        <f>E4/G5</f>
        <v>6.6666666666666666E-2</v>
      </c>
    </row>
    <row r="9" spans="1:9" x14ac:dyDescent="0.35">
      <c r="B9">
        <f>C5/G3</f>
        <v>0.10588235294117647</v>
      </c>
      <c r="C9">
        <f>D5/G4</f>
        <v>0.04</v>
      </c>
      <c r="D9">
        <f>E5/G5</f>
        <v>0.16666666666666666</v>
      </c>
    </row>
    <row r="11" spans="1:9" x14ac:dyDescent="0.35">
      <c r="A11" t="s">
        <v>10</v>
      </c>
      <c r="B11">
        <f>G11-B7</f>
        <v>0.64705882352941169</v>
      </c>
      <c r="C11">
        <f t="shared" ref="C11:D11" si="0">H11-C7</f>
        <v>-0.24</v>
      </c>
      <c r="D11">
        <f t="shared" si="0"/>
        <v>-8.3333333333333329E-2</v>
      </c>
      <c r="F11" t="s">
        <v>9</v>
      </c>
      <c r="G11">
        <v>1</v>
      </c>
      <c r="H11">
        <v>0</v>
      </c>
      <c r="I11">
        <v>0</v>
      </c>
    </row>
    <row r="12" spans="1:9" x14ac:dyDescent="0.35">
      <c r="B12">
        <f t="shared" ref="B12:B13" si="1">G12-B8</f>
        <v>-5.8823529411764705E-3</v>
      </c>
      <c r="C12">
        <f t="shared" ref="C12:C13" si="2">H12-C8</f>
        <v>1</v>
      </c>
      <c r="D12">
        <f t="shared" ref="D12:D13" si="3">I12-D8</f>
        <v>-6.6666666666666666E-2</v>
      </c>
      <c r="G12">
        <v>0</v>
      </c>
      <c r="H12">
        <v>1</v>
      </c>
      <c r="I12">
        <v>0</v>
      </c>
    </row>
    <row r="13" spans="1:9" x14ac:dyDescent="0.35">
      <c r="B13">
        <f t="shared" si="1"/>
        <v>-0.10588235294117647</v>
      </c>
      <c r="C13">
        <f t="shared" si="2"/>
        <v>-0.04</v>
      </c>
      <c r="D13">
        <f t="shared" si="3"/>
        <v>0.83333333333333337</v>
      </c>
      <c r="G13">
        <v>0</v>
      </c>
      <c r="H13">
        <v>0</v>
      </c>
      <c r="I13">
        <v>1</v>
      </c>
    </row>
    <row r="15" spans="1:9" x14ac:dyDescent="0.35">
      <c r="B15" t="s">
        <v>11</v>
      </c>
    </row>
    <row r="16" spans="1:9" x14ac:dyDescent="0.35">
      <c r="B16" cm="1">
        <f t="array" ref="B16:D18">MINVERSE(B11:D13)</f>
        <v>1.5798855847187727</v>
      </c>
      <c r="C16">
        <v>0.38672961744721163</v>
      </c>
      <c r="D16">
        <v>0.18892692786765419</v>
      </c>
    </row>
    <row r="17" spans="2:4" x14ac:dyDescent="0.35">
      <c r="B17">
        <v>2.2748801026306567E-2</v>
      </c>
      <c r="C17">
        <v>1.0087787996091682</v>
      </c>
      <c r="D17">
        <v>8.2977184071364118E-2</v>
      </c>
    </row>
    <row r="18" spans="2:4" x14ac:dyDescent="0.35">
      <c r="B18">
        <v>0.2018303461547068</v>
      </c>
      <c r="C18">
        <v>9.7558792598062258E-2</v>
      </c>
      <c r="D18">
        <v>1.2279877380233157</v>
      </c>
    </row>
    <row r="20" spans="2:4" x14ac:dyDescent="0.35">
      <c r="B20" t="s">
        <v>12</v>
      </c>
    </row>
    <row r="21" spans="2:4" x14ac:dyDescent="0.35">
      <c r="B21">
        <f>C3*$G$3</f>
        <v>10200</v>
      </c>
      <c r="C21">
        <f>D3*$G$4</f>
        <v>600</v>
      </c>
      <c r="D21">
        <f>E3*$G$5</f>
        <v>300</v>
      </c>
    </row>
    <row r="22" spans="2:4" x14ac:dyDescent="0.35">
      <c r="B22">
        <f>C4*$G$3</f>
        <v>170</v>
      </c>
      <c r="C22">
        <f t="shared" ref="C22:C23" si="4">D4*$G$4</f>
        <v>0</v>
      </c>
      <c r="D22">
        <f t="shared" ref="D22:D23" si="5">E4*$G$5</f>
        <v>240</v>
      </c>
    </row>
    <row r="23" spans="2:4" x14ac:dyDescent="0.35">
      <c r="B23">
        <f t="shared" ref="B22:D23" si="6">C5*$G$3</f>
        <v>3060</v>
      </c>
      <c r="C23">
        <f t="shared" si="4"/>
        <v>100</v>
      </c>
      <c r="D23">
        <f t="shared" si="5"/>
        <v>600</v>
      </c>
    </row>
    <row r="25" spans="2:4" x14ac:dyDescent="0.35">
      <c r="B25" t="s">
        <v>14</v>
      </c>
    </row>
    <row r="26" spans="2:4" x14ac:dyDescent="0.35">
      <c r="B26">
        <f>B16-B7-G11</f>
        <v>0.2269444082481844</v>
      </c>
      <c r="C26">
        <f t="shared" ref="C26:D28" si="7">C16-C7-H11</f>
        <v>0.14672961744721164</v>
      </c>
      <c r="D26">
        <f>D16-D7-I11</f>
        <v>0.10559359453432086</v>
      </c>
    </row>
    <row r="27" spans="2:4" x14ac:dyDescent="0.35">
      <c r="B27">
        <f t="shared" ref="B27:B28" si="8">B17-B8-G12</f>
        <v>1.6866448085130097E-2</v>
      </c>
      <c r="C27">
        <f t="shared" si="7"/>
        <v>8.7787996091681642E-3</v>
      </c>
      <c r="D27">
        <f t="shared" si="7"/>
        <v>1.6310517404697453E-2</v>
      </c>
    </row>
    <row r="28" spans="2:4" x14ac:dyDescent="0.35">
      <c r="B28">
        <f t="shared" si="8"/>
        <v>9.5947993213530328E-2</v>
      </c>
      <c r="C28">
        <f t="shared" si="7"/>
        <v>5.7558792598062257E-2</v>
      </c>
      <c r="D28">
        <f t="shared" si="7"/>
        <v>6.1321071356648993E-2</v>
      </c>
    </row>
  </sheetData>
  <mergeCells count="5">
    <mergeCell ref="C1:E1"/>
    <mergeCell ref="A1:A2"/>
    <mergeCell ref="B1:B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Ivan Vasileniya</cp:lastModifiedBy>
  <dcterms:created xsi:type="dcterms:W3CDTF">2015-06-05T18:19:34Z</dcterms:created>
  <dcterms:modified xsi:type="dcterms:W3CDTF">2026-02-11T13:11:35Z</dcterms:modified>
</cp:coreProperties>
</file>