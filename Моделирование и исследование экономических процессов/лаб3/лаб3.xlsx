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9E47561F-2A09-4DD7-BD43-EF532C35351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Лист3" sheetId="3" r:id="rId1"/>
    <sheet name="Двойственная" sheetId="2" r:id="rId2"/>
    <sheet name="Лист4" sheetId="4" r:id="rId3"/>
    <sheet name="Лист5" sheetId="5" r:id="rId4"/>
  </sheets>
  <definedNames>
    <definedName name="solver_adj" localSheetId="1" hidden="1">Двойственная!$B$7:$B$9</definedName>
    <definedName name="solver_adj" localSheetId="0" hidden="1">Лист3!$B$7:$B$9</definedName>
    <definedName name="solver_adj" localSheetId="2" hidden="1">Лист4!$B$5:$B$7</definedName>
    <definedName name="solver_adj" localSheetId="3" hidden="1">Лист5!$B$6:$B$7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drv" localSheetId="1" hidden="1">2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eng" localSheetId="1" hidden="1">1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lhs1" localSheetId="1" hidden="1">Двойственная!$B$7</definedName>
    <definedName name="solver_lhs1" localSheetId="0" hidden="1">Лист3!$B$7</definedName>
    <definedName name="solver_lhs1" localSheetId="2" hidden="1">Лист4!$B$5</definedName>
    <definedName name="solver_lhs1" localSheetId="3" hidden="1">Лист5!$B$6:$B$7</definedName>
    <definedName name="solver_lhs2" localSheetId="1" hidden="1">Двойственная!$B$8</definedName>
    <definedName name="solver_lhs2" localSheetId="0" hidden="1">Лист3!$B$8</definedName>
    <definedName name="solver_lhs2" localSheetId="2" hidden="1">Лист4!$B$6</definedName>
    <definedName name="solver_lhs2" localSheetId="3" hidden="1">Лист5!$E$2:$E$4</definedName>
    <definedName name="solver_lhs3" localSheetId="1" hidden="1">Двойственная!$B$9</definedName>
    <definedName name="solver_lhs3" localSheetId="0" hidden="1">Лист3!$B$9</definedName>
    <definedName name="solver_lhs3" localSheetId="2" hidden="1">Лист4!$B$7</definedName>
    <definedName name="solver_lhs4" localSheetId="1" hidden="1">Двойственная!$F$2</definedName>
    <definedName name="solver_lhs4" localSheetId="0" hidden="1">Лист3!$F$2</definedName>
    <definedName name="solver_lhs4" localSheetId="2" hidden="1">Лист4!$F$2</definedName>
    <definedName name="solver_lhs5" localSheetId="1" hidden="1">Двойственная!$F$3</definedName>
    <definedName name="solver_lhs5" localSheetId="0" hidden="1">Лист3!$F$3</definedName>
    <definedName name="solver_lhs5" localSheetId="2" hidden="1">Лист4!$F$3</definedName>
    <definedName name="solver_lhs6" localSheetId="1" hidden="1">Двойственная!$F$4</definedName>
    <definedName name="solver_lhs6" localSheetId="0" hidden="1">Лист3!$F$4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neg" localSheetId="1" hidden="1">2</definedName>
    <definedName name="solver_neg" localSheetId="0" hidden="1">2</definedName>
    <definedName name="solver_neg" localSheetId="2" hidden="1">2</definedName>
    <definedName name="solver_neg" localSheetId="3" hidden="1">2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um" localSheetId="1" hidden="1">6</definedName>
    <definedName name="solver_num" localSheetId="0" hidden="1">6</definedName>
    <definedName name="solver_num" localSheetId="2" hidden="1">5</definedName>
    <definedName name="solver_num" localSheetId="3" hidden="1">2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opt" localSheetId="1" hidden="1">Двойственная!$B$10</definedName>
    <definedName name="solver_opt" localSheetId="0" hidden="1">Лист3!$B$10</definedName>
    <definedName name="solver_opt" localSheetId="2" hidden="1">Лист4!$B$8</definedName>
    <definedName name="solver_opt" localSheetId="3" hidden="1">Лист5!$B$9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rbv" localSheetId="1" hidden="1">2</definedName>
    <definedName name="solver_rbv" localSheetId="0" hidden="1">1</definedName>
    <definedName name="solver_rbv" localSheetId="2" hidden="1">1</definedName>
    <definedName name="solver_rbv" localSheetId="3" hidden="1">1</definedName>
    <definedName name="solver_rel1" localSheetId="1" hidden="1">3</definedName>
    <definedName name="solver_rel1" localSheetId="0" hidden="1">3</definedName>
    <definedName name="solver_rel1" localSheetId="2" hidden="1">3</definedName>
    <definedName name="solver_rel1" localSheetId="3" hidden="1">3</definedName>
    <definedName name="solver_rel2" localSheetId="1" hidden="1">3</definedName>
    <definedName name="solver_rel2" localSheetId="0" hidden="1">3</definedName>
    <definedName name="solver_rel2" localSheetId="2" hidden="1">3</definedName>
    <definedName name="solver_rel2" localSheetId="3" hidden="1">1</definedName>
    <definedName name="solver_rel3" localSheetId="1" hidden="1">1</definedName>
    <definedName name="solver_rel3" localSheetId="0" hidden="1">3</definedName>
    <definedName name="solver_rel3" localSheetId="2" hidden="1">3</definedName>
    <definedName name="solver_rel4" localSheetId="1" hidden="1">3</definedName>
    <definedName name="solver_rel4" localSheetId="0" hidden="1">1</definedName>
    <definedName name="solver_rel4" localSheetId="2" hidden="1">3</definedName>
    <definedName name="solver_rel5" localSheetId="1" hidden="1">3</definedName>
    <definedName name="solver_rel5" localSheetId="0" hidden="1">1</definedName>
    <definedName name="solver_rel5" localSheetId="2" hidden="1">3</definedName>
    <definedName name="solver_rel6" localSheetId="1" hidden="1">3</definedName>
    <definedName name="solver_rel6" localSheetId="0" hidden="1">3</definedName>
    <definedName name="solver_rhs1" localSheetId="1" hidden="1">0</definedName>
    <definedName name="solver_rhs1" localSheetId="0" hidden="1">0</definedName>
    <definedName name="solver_rhs1" localSheetId="2" hidden="1">0</definedName>
    <definedName name="solver_rhs1" localSheetId="3" hidden="1">0</definedName>
    <definedName name="solver_rhs2" localSheetId="1" hidden="1">0</definedName>
    <definedName name="solver_rhs2" localSheetId="0" hidden="1">0</definedName>
    <definedName name="solver_rhs2" localSheetId="2" hidden="1">0</definedName>
    <definedName name="solver_rhs2" localSheetId="3" hidden="1">Лист5!$D$2:$D$4</definedName>
    <definedName name="solver_rhs3" localSheetId="1" hidden="1">0</definedName>
    <definedName name="solver_rhs3" localSheetId="0" hidden="1">0</definedName>
    <definedName name="solver_rhs3" localSheetId="2" hidden="1">0</definedName>
    <definedName name="solver_rhs4" localSheetId="1" hidden="1">Двойственная!$E$2</definedName>
    <definedName name="solver_rhs4" localSheetId="0" hidden="1">Лист3!$E$2</definedName>
    <definedName name="solver_rhs4" localSheetId="2" hidden="1">Лист4!$E$2</definedName>
    <definedName name="solver_rhs5" localSheetId="1" hidden="1">Двойственная!$E$3</definedName>
    <definedName name="solver_rhs5" localSheetId="0" hidden="1">Лист3!$E$3</definedName>
    <definedName name="solver_rhs5" localSheetId="2" hidden="1">Лист4!$E$3</definedName>
    <definedName name="solver_rhs6" localSheetId="1" hidden="1">Двойственная!$E$4</definedName>
    <definedName name="solver_rhs6" localSheetId="0" hidden="1">Лист3!$E$4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scl" localSheetId="1" hidden="1">2</definedName>
    <definedName name="solver_scl" localSheetId="0" hidden="1">1</definedName>
    <definedName name="solver_scl" localSheetId="2" hidden="1">1</definedName>
    <definedName name="solver_scl" localSheetId="3" hidden="1">1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yp" localSheetId="1" hidden="1">2</definedName>
    <definedName name="solver_typ" localSheetId="0" hidden="1">1</definedName>
    <definedName name="solver_typ" localSheetId="2" hidden="1">2</definedName>
    <definedName name="solver_typ" localSheetId="3" hidden="1">1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0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E4" i="5"/>
  <c r="E3" i="5"/>
  <c r="E2" i="5"/>
  <c r="B2" i="5" a="1"/>
  <c r="B2" i="5" s="1"/>
  <c r="B8" i="4"/>
  <c r="F3" i="4"/>
  <c r="F2" i="4"/>
  <c r="B10" i="2"/>
  <c r="F2" i="2"/>
  <c r="B2" i="2" a="1"/>
  <c r="B2" i="2" s="1"/>
  <c r="F2" i="3"/>
  <c r="F3" i="3"/>
  <c r="F4" i="3"/>
  <c r="B10" i="3"/>
  <c r="F3" i="2" l="1"/>
  <c r="F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<sst xmlns="http://schemas.openxmlformats.org/spreadsheetml/2006/main" count="36" uniqueCount="14">
  <si>
    <t>x1</t>
  </si>
  <si>
    <t>x2</t>
  </si>
  <si>
    <t>x3</t>
  </si>
  <si>
    <t>Z</t>
  </si>
  <si>
    <t>Огр</t>
  </si>
  <si>
    <t>Сумм</t>
  </si>
  <si>
    <t>u1</t>
  </si>
  <si>
    <t>u2</t>
  </si>
  <si>
    <t>u3</t>
  </si>
  <si>
    <t>Z=</t>
  </si>
  <si>
    <t>огр</t>
  </si>
  <si>
    <t>сумм</t>
  </si>
  <si>
    <t>6*u1 + 9*u2 + u3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</si>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</sst>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152847</xdr:colOff>
      <xdr:row>12</xdr:row>
      <xdr:rowOff>41563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B264ECA-43B1-99B0-8899-E496E621D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84150"/>
          <a:ext cx="3200847" cy="2067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0</xdr:row>
      <xdr:rowOff>12700</xdr:rowOff>
    </xdr:from>
    <xdr:to>
      <xdr:col>12</xdr:col>
      <xdr:colOff>267147</xdr:colOff>
      <xdr:row>11</xdr:row>
      <xdr:rowOff>54263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30786BE-08E3-473A-9610-A1EE158A6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12700"/>
          <a:ext cx="3200847" cy="2067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0</xdr:row>
      <xdr:rowOff>0</xdr:rowOff>
    </xdr:from>
    <xdr:to>
      <xdr:col>12</xdr:col>
      <xdr:colOff>486252</xdr:colOff>
      <xdr:row>8</xdr:row>
      <xdr:rowOff>98644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D009CC5-F0DF-563C-A1C2-9F8C0E440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0"/>
          <a:ext cx="3419952" cy="15718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311150</xdr:colOff>
      <xdr:row>0</xdr:row>
      <xdr:rowOff>177800</xdr:rowOff>
    </xdr:from>
    <xdr:to>
      <xdr:col>13</xdr:col>
      <xdr:colOff>73502</xdr:colOff>
      <xdr:row>9</xdr:row>
      <xdr:rowOff>92294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1D214BF-3FA7-4EEC-BA51-4C9C2F357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8350" y="177800"/>
          <a:ext cx="3419952" cy="1571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C55B-687F-4B4C-AB25-406EFD8C570C}">
  <dimension ref="A1:F10"/>
  <sheetViews>
    <sheetView workbookViewId="0"/>
  </sheetViews>
  <sheetFormatPr defaultRowHeight="14.5" x14ac:dyDescent="0.35"/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</row>
    <row r="2" spans="1:6" x14ac:dyDescent="0.35">
      <c r="A2" s="1"/>
      <c r="B2" s="1">
        <v>1</v>
      </c>
      <c r="C2" s="1">
        <v>1</v>
      </c>
      <c r="D2" s="1">
        <v>1</v>
      </c>
      <c r="E2" s="1">
        <v>6</v>
      </c>
      <c r="F2" s="1">
        <f>B$7*B2+B$8*C2+B$9*D2</f>
        <v>5.9999999999999982</v>
      </c>
    </row>
    <row r="3" spans="1:6" x14ac:dyDescent="0.35">
      <c r="A3" s="1"/>
      <c r="B3" s="1">
        <v>2</v>
      </c>
      <c r="C3" s="1">
        <v>-1</v>
      </c>
      <c r="D3" s="1">
        <v>3</v>
      </c>
      <c r="E3" s="1">
        <v>9</v>
      </c>
      <c r="F3" s="1">
        <f t="shared" ref="F3:F4" si="0">B$7*B3+B$8*C3+B$9*D3</f>
        <v>9.0000001961488092</v>
      </c>
    </row>
    <row r="4" spans="1:6" x14ac:dyDescent="0.35">
      <c r="A4" s="1"/>
      <c r="B4" s="1">
        <v>3</v>
      </c>
      <c r="C4" s="1">
        <v>1</v>
      </c>
      <c r="D4" s="1">
        <v>2</v>
      </c>
      <c r="E4" s="1">
        <v>1</v>
      </c>
      <c r="F4" s="1">
        <f t="shared" si="0"/>
        <v>9.750000049037201</v>
      </c>
    </row>
    <row r="5" spans="1:6" x14ac:dyDescent="0.35">
      <c r="A5" s="1"/>
      <c r="B5" s="1"/>
      <c r="C5" s="1"/>
      <c r="D5" s="1"/>
      <c r="E5" s="1"/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1" t="s">
        <v>0</v>
      </c>
      <c r="B7" s="1">
        <v>0</v>
      </c>
      <c r="C7" s="1"/>
      <c r="D7" s="1"/>
      <c r="E7" s="1"/>
      <c r="F7" s="1"/>
    </row>
    <row r="8" spans="1:6" x14ac:dyDescent="0.35">
      <c r="A8" s="1" t="s">
        <v>1</v>
      </c>
      <c r="B8" s="1">
        <v>2.2499999509627968</v>
      </c>
      <c r="C8" s="1"/>
      <c r="D8" s="1"/>
      <c r="E8" s="1"/>
      <c r="F8" s="1"/>
    </row>
    <row r="9" spans="1:6" x14ac:dyDescent="0.35">
      <c r="A9" s="1" t="s">
        <v>2</v>
      </c>
      <c r="B9" s="1">
        <v>3.7500000490372019</v>
      </c>
      <c r="C9" s="1"/>
      <c r="D9" s="1"/>
      <c r="E9" s="1"/>
      <c r="F9" s="1"/>
    </row>
    <row r="10" spans="1:6" x14ac:dyDescent="0.35">
      <c r="A10" s="1" t="s">
        <v>3</v>
      </c>
      <c r="B10" s="1">
        <f>5*B7+2*B8+6*B9</f>
        <v>27.000000196148807</v>
      </c>
      <c r="C10" s="1"/>
      <c r="D10" s="1"/>
      <c r="E10" s="1"/>
      <c r="F1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9C20-19A6-4A87-9DDF-FA0940DF6D1C}">
  <dimension ref="A1:F11"/>
  <sheetViews>
    <sheetView workbookViewId="0">
      <selection activeCell="F15" sqref="F15"/>
    </sheetView>
  </sheetViews>
  <sheetFormatPr defaultRowHeight="14.5" x14ac:dyDescent="0.35"/>
  <sheetData>
    <row r="1" spans="1:6" x14ac:dyDescent="0.35">
      <c r="A1" s="1"/>
      <c r="B1" s="1" t="s">
        <v>6</v>
      </c>
      <c r="C1" s="1" t="s">
        <v>7</v>
      </c>
      <c r="D1" s="1" t="s">
        <v>8</v>
      </c>
      <c r="E1" s="1" t="s">
        <v>4</v>
      </c>
      <c r="F1" s="1" t="s">
        <v>5</v>
      </c>
    </row>
    <row r="2" spans="1:6" x14ac:dyDescent="0.35">
      <c r="A2" s="1"/>
      <c r="B2" s="1" cm="1">
        <f t="array" ref="B2:D4">TRANSPOSE(Лист3!B2:D4)</f>
        <v>1</v>
      </c>
      <c r="C2" s="1">
        <v>2</v>
      </c>
      <c r="D2" s="1">
        <v>3</v>
      </c>
      <c r="E2" s="1">
        <v>5</v>
      </c>
      <c r="F2" s="1">
        <f>B$7*B2+B$8*C2+B$9*D2</f>
        <v>5.0000002500000003</v>
      </c>
    </row>
    <row r="3" spans="1:6" x14ac:dyDescent="0.35">
      <c r="A3" s="1"/>
      <c r="B3" s="1">
        <v>1</v>
      </c>
      <c r="C3" s="1">
        <v>-1</v>
      </c>
      <c r="D3" s="1">
        <v>1</v>
      </c>
      <c r="E3" s="1">
        <v>2</v>
      </c>
      <c r="F3" s="1">
        <f>B$7*B3+B$8*C3+B$9*D3</f>
        <v>2.0000009999999984</v>
      </c>
    </row>
    <row r="4" spans="1:6" x14ac:dyDescent="0.35">
      <c r="A4" s="1"/>
      <c r="B4" s="1">
        <v>1</v>
      </c>
      <c r="C4" s="1">
        <v>3</v>
      </c>
      <c r="D4" s="1">
        <v>2</v>
      </c>
      <c r="E4" s="1">
        <v>6</v>
      </c>
      <c r="F4" s="1">
        <f>B$7*B4+B$8*C4+B$9*D4</f>
        <v>6</v>
      </c>
    </row>
    <row r="5" spans="1:6" x14ac:dyDescent="0.35">
      <c r="A5" s="1"/>
      <c r="B5" s="1"/>
      <c r="C5" s="1"/>
      <c r="D5" s="1"/>
      <c r="E5" s="1"/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1" t="s">
        <v>6</v>
      </c>
      <c r="B7" s="1">
        <v>3.000000749999999</v>
      </c>
      <c r="C7" s="1"/>
      <c r="D7" s="1"/>
      <c r="E7" s="1"/>
      <c r="F7" s="1"/>
    </row>
    <row r="8" spans="1:6" x14ac:dyDescent="0.35">
      <c r="A8" s="1" t="s">
        <v>7</v>
      </c>
      <c r="B8" s="1">
        <v>0.99999975000000052</v>
      </c>
      <c r="C8" s="1"/>
      <c r="D8" s="1"/>
      <c r="E8" s="1"/>
      <c r="F8" s="1"/>
    </row>
    <row r="9" spans="1:6" x14ac:dyDescent="0.35">
      <c r="A9" s="1" t="s">
        <v>8</v>
      </c>
      <c r="B9" s="1">
        <v>0</v>
      </c>
      <c r="C9" s="1"/>
      <c r="D9" s="1"/>
      <c r="E9" s="1"/>
      <c r="F9" s="1"/>
    </row>
    <row r="10" spans="1:6" x14ac:dyDescent="0.35">
      <c r="A10" s="1" t="s">
        <v>3</v>
      </c>
      <c r="B10" s="1">
        <f>B7*6+B8*9+B9</f>
        <v>27.000002250000001</v>
      </c>
      <c r="C10" s="1"/>
      <c r="D10" s="1"/>
      <c r="E10" s="1"/>
      <c r="F10" s="1"/>
    </row>
    <row r="11" spans="1:6" x14ac:dyDescent="0.35">
      <c r="A11" s="1" t="s">
        <v>9</v>
      </c>
      <c r="B11" s="1" t="s">
        <v>12</v>
      </c>
      <c r="C11" s="1"/>
      <c r="D11" s="1"/>
      <c r="E11" s="1"/>
      <c r="F1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9CB1-D9A1-4EB5-B3A7-F7235943E5ED}">
  <dimension ref="A1:F8"/>
  <sheetViews>
    <sheetView workbookViewId="0"/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4</v>
      </c>
      <c r="F1" t="s">
        <v>13</v>
      </c>
    </row>
    <row r="2" spans="1:6" x14ac:dyDescent="0.35">
      <c r="B2">
        <v>1</v>
      </c>
      <c r="C2">
        <v>1</v>
      </c>
      <c r="D2">
        <v>1</v>
      </c>
      <c r="E2">
        <v>3</v>
      </c>
      <c r="F2">
        <f>B$5* B2+B$6*C2+B$7*D2</f>
        <v>3</v>
      </c>
    </row>
    <row r="3" spans="1:6" x14ac:dyDescent="0.35">
      <c r="B3">
        <v>0</v>
      </c>
      <c r="C3">
        <v>1</v>
      </c>
      <c r="D3">
        <v>-1</v>
      </c>
      <c r="E3">
        <v>2</v>
      </c>
      <c r="F3">
        <f>B$5* B3+B$6*C3+B$7*D3</f>
        <v>2.0000000000000004</v>
      </c>
    </row>
    <row r="5" spans="1:6" x14ac:dyDescent="0.35">
      <c r="A5" t="s">
        <v>0</v>
      </c>
      <c r="B5">
        <v>0.99999999999999967</v>
      </c>
    </row>
    <row r="6" spans="1:6" x14ac:dyDescent="0.35">
      <c r="A6" t="s">
        <v>1</v>
      </c>
      <c r="B6">
        <v>2.0000000000000004</v>
      </c>
    </row>
    <row r="7" spans="1:6" x14ac:dyDescent="0.35">
      <c r="A7" t="s">
        <v>2</v>
      </c>
      <c r="B7">
        <v>0</v>
      </c>
    </row>
    <row r="8" spans="1:6" x14ac:dyDescent="0.35">
      <c r="A8" t="s">
        <v>3</v>
      </c>
      <c r="B8">
        <f>2*B5+4*B6+B7</f>
        <v>10.000000000000002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D721-4801-4819-8034-49BBCE3E5C70}">
  <dimension ref="A1:E9"/>
  <sheetViews>
    <sheetView tabSelected="1" workbookViewId="0">
      <selection activeCell="B10" sqref="B10"/>
    </sheetView>
  </sheetViews>
  <sheetFormatPr defaultRowHeight="14.5" x14ac:dyDescent="0.35"/>
  <sheetData>
    <row r="1" spans="1:5" x14ac:dyDescent="0.35">
      <c r="B1" t="s">
        <v>6</v>
      </c>
      <c r="C1" t="s">
        <v>7</v>
      </c>
      <c r="D1" t="s">
        <v>4</v>
      </c>
      <c r="E1" t="s">
        <v>13</v>
      </c>
    </row>
    <row r="2" spans="1:5" x14ac:dyDescent="0.35">
      <c r="B2" cm="1">
        <f t="array" ref="B2:C4">TRANSPOSE(Лист4!$B$2:$D$3)</f>
        <v>1</v>
      </c>
      <c r="C2">
        <v>0</v>
      </c>
      <c r="D2">
        <v>2</v>
      </c>
      <c r="E2">
        <f>B$6* B2+B$7*C2</f>
        <v>2</v>
      </c>
    </row>
    <row r="3" spans="1:5" x14ac:dyDescent="0.35">
      <c r="B3">
        <v>1</v>
      </c>
      <c r="C3">
        <v>1</v>
      </c>
      <c r="D3">
        <v>4</v>
      </c>
      <c r="E3">
        <f>B$6* B3+B$7*C3</f>
        <v>4</v>
      </c>
    </row>
    <row r="4" spans="1:5" x14ac:dyDescent="0.35">
      <c r="B4">
        <v>1</v>
      </c>
      <c r="C4">
        <v>-1</v>
      </c>
      <c r="D4">
        <v>1</v>
      </c>
      <c r="E4">
        <f>B$6* B4+B$7*C4</f>
        <v>0</v>
      </c>
    </row>
    <row r="6" spans="1:5" x14ac:dyDescent="0.35">
      <c r="A6" t="s">
        <v>6</v>
      </c>
      <c r="B6">
        <v>2</v>
      </c>
    </row>
    <row r="7" spans="1:5" x14ac:dyDescent="0.35">
      <c r="A7" t="s">
        <v>7</v>
      </c>
      <c r="B7">
        <v>2.0000000000000004</v>
      </c>
    </row>
    <row r="9" spans="1:5" x14ac:dyDescent="0.35">
      <c r="A9" t="s">
        <v>3</v>
      </c>
      <c r="B9">
        <f>3*B6+2*B7</f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Двойственная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Vasileniya</cp:lastModifiedBy>
  <dcterms:created xsi:type="dcterms:W3CDTF">2015-06-05T18:19:34Z</dcterms:created>
  <dcterms:modified xsi:type="dcterms:W3CDTF">2026-02-25T14:55:45Z</dcterms:modified>
</cp:coreProperties>
</file>